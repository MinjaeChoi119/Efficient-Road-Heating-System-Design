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한양대 과제\3학년 2학기\CAE\projekt\"/>
    </mc:Choice>
  </mc:AlternateContent>
  <xr:revisionPtr revIDLastSave="0" documentId="13_ncr:1_{789A998C-DEBE-4C5C-95E4-DC829AF44A4B}" xr6:coauthVersionLast="47" xr6:coauthVersionMax="47" xr10:uidLastSave="{00000000-0000-0000-0000-000000000000}"/>
  <bookViews>
    <workbookView xWindow="-120" yWindow="-120" windowWidth="29040" windowHeight="15840" xr2:uid="{C7D08C10-75AE-40FB-9A31-DE9B031095A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8" i="1" l="1"/>
  <c r="R9" i="1"/>
  <c r="R10" i="1"/>
  <c r="R11" i="1"/>
  <c r="R12" i="1"/>
  <c r="R13" i="1"/>
  <c r="R14" i="1"/>
  <c r="R15" i="1"/>
  <c r="R16" i="1"/>
  <c r="R7" i="1"/>
  <c r="N8" i="1"/>
  <c r="N9" i="1"/>
  <c r="N10" i="1"/>
  <c r="N11" i="1"/>
  <c r="N12" i="1"/>
  <c r="N13" i="1"/>
  <c r="N14" i="1"/>
  <c r="N15" i="1"/>
  <c r="N16" i="1"/>
  <c r="N7" i="1"/>
  <c r="J8" i="1"/>
  <c r="J9" i="1"/>
  <c r="J10" i="1"/>
  <c r="J11" i="1"/>
  <c r="J12" i="1"/>
  <c r="J13" i="1"/>
  <c r="J14" i="1"/>
  <c r="J15" i="1"/>
  <c r="J16" i="1"/>
  <c r="J7" i="1"/>
  <c r="E8" i="1"/>
  <c r="E9" i="1"/>
  <c r="E10" i="1"/>
  <c r="E11" i="1"/>
  <c r="E12" i="1"/>
  <c r="E13" i="1"/>
  <c r="E14" i="1"/>
  <c r="E15" i="1"/>
  <c r="E16" i="1"/>
  <c r="E7" i="1"/>
</calcChain>
</file>

<file path=xl/sharedStrings.xml><?xml version="1.0" encoding="utf-8"?>
<sst xmlns="http://schemas.openxmlformats.org/spreadsheetml/2006/main" count="16" uniqueCount="9">
  <si>
    <t>scale</t>
    <phoneticPr fontId="1" type="noConversion"/>
  </si>
  <si>
    <t>min</t>
    <phoneticPr fontId="1" type="noConversion"/>
  </si>
  <si>
    <t>직선</t>
    <phoneticPr fontId="1" type="noConversion"/>
  </si>
  <si>
    <t>scale</t>
  </si>
  <si>
    <t>min</t>
  </si>
  <si>
    <t>육각형</t>
    <phoneticPr fontId="1" type="noConversion"/>
  </si>
  <si>
    <t>사각형</t>
    <phoneticPr fontId="1" type="noConversion"/>
  </si>
  <si>
    <t>삼각형</t>
    <phoneticPr fontId="1" type="noConversion"/>
  </si>
  <si>
    <t>단위면적당 길이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</si>
</sst>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rgb="FF000000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0" xfId="0" applyFo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scale</a:t>
            </a:r>
            <a:r>
              <a:rPr lang="en-US" altLang="ko-KR" baseline="0"/>
              <a:t> vs </a:t>
            </a:r>
            <a:r>
              <a:rPr lang="ko-KR" altLang="en-US" baseline="0"/>
              <a:t>도로 최소온도</a:t>
            </a:r>
            <a:endParaRPr lang="ko-KR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직선형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Sheet1!$F$7:$F$16</c:f>
              <c:numCache>
                <c:formatCode>General</c:formatCode>
                <c:ptCount val="10"/>
                <c:pt idx="0">
                  <c:v>1</c:v>
                </c:pt>
                <c:pt idx="1">
                  <c:v>0.9</c:v>
                </c:pt>
                <c:pt idx="2">
                  <c:v>0.8</c:v>
                </c:pt>
                <c:pt idx="3">
                  <c:v>0.7</c:v>
                </c:pt>
                <c:pt idx="4">
                  <c:v>0.6</c:v>
                </c:pt>
                <c:pt idx="5">
                  <c:v>0.5</c:v>
                </c:pt>
                <c:pt idx="6">
                  <c:v>0.4</c:v>
                </c:pt>
                <c:pt idx="7">
                  <c:v>0.3</c:v>
                </c:pt>
                <c:pt idx="8">
                  <c:v>0.2</c:v>
                </c:pt>
                <c:pt idx="9">
                  <c:v>0.1</c:v>
                </c:pt>
              </c:numCache>
            </c:numRef>
          </c:xVal>
          <c:yVal>
            <c:numRef>
              <c:f>Sheet1!$G$7:$G$16</c:f>
              <c:numCache>
                <c:formatCode>General</c:formatCode>
                <c:ptCount val="10"/>
                <c:pt idx="0">
                  <c:v>-4.9000000000000004</c:v>
                </c:pt>
                <c:pt idx="1">
                  <c:v>-4.9000000000000004</c:v>
                </c:pt>
                <c:pt idx="2">
                  <c:v>-4.88</c:v>
                </c:pt>
                <c:pt idx="3">
                  <c:v>-4.84</c:v>
                </c:pt>
                <c:pt idx="4">
                  <c:v>-4.74</c:v>
                </c:pt>
                <c:pt idx="5">
                  <c:v>-4.5199999999999996</c:v>
                </c:pt>
                <c:pt idx="6">
                  <c:v>-4.0199999999999996</c:v>
                </c:pt>
                <c:pt idx="7">
                  <c:v>-2.84</c:v>
                </c:pt>
                <c:pt idx="8">
                  <c:v>-0.03</c:v>
                </c:pt>
                <c:pt idx="9">
                  <c:v>7.99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1C2-4ED4-A535-0EA10D6F9565}"/>
            </c:ext>
          </c:extLst>
        </c:ser>
        <c:ser>
          <c:idx val="1"/>
          <c:order val="1"/>
          <c:tx>
            <c:v>육각형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Sheet1!$F$7:$F$16</c:f>
              <c:numCache>
                <c:formatCode>General</c:formatCode>
                <c:ptCount val="10"/>
                <c:pt idx="0">
                  <c:v>1</c:v>
                </c:pt>
                <c:pt idx="1">
                  <c:v>0.9</c:v>
                </c:pt>
                <c:pt idx="2">
                  <c:v>0.8</c:v>
                </c:pt>
                <c:pt idx="3">
                  <c:v>0.7</c:v>
                </c:pt>
                <c:pt idx="4">
                  <c:v>0.6</c:v>
                </c:pt>
                <c:pt idx="5">
                  <c:v>0.5</c:v>
                </c:pt>
                <c:pt idx="6">
                  <c:v>0.4</c:v>
                </c:pt>
                <c:pt idx="7">
                  <c:v>0.3</c:v>
                </c:pt>
                <c:pt idx="8">
                  <c:v>0.2</c:v>
                </c:pt>
                <c:pt idx="9">
                  <c:v>0.1</c:v>
                </c:pt>
              </c:numCache>
            </c:numRef>
          </c:xVal>
          <c:yVal>
            <c:numRef>
              <c:f>Sheet1!$L$7:$L$16</c:f>
              <c:numCache>
                <c:formatCode>General</c:formatCode>
                <c:ptCount val="10"/>
                <c:pt idx="0">
                  <c:v>-4.91</c:v>
                </c:pt>
                <c:pt idx="1">
                  <c:v>-4.91</c:v>
                </c:pt>
                <c:pt idx="2">
                  <c:v>-4.91</c:v>
                </c:pt>
                <c:pt idx="3">
                  <c:v>-4.91</c:v>
                </c:pt>
                <c:pt idx="4">
                  <c:v>-4.9000000000000004</c:v>
                </c:pt>
                <c:pt idx="5">
                  <c:v>-4.87</c:v>
                </c:pt>
                <c:pt idx="6">
                  <c:v>-4.7300000000000004</c:v>
                </c:pt>
                <c:pt idx="7">
                  <c:v>-4.13</c:v>
                </c:pt>
                <c:pt idx="8">
                  <c:v>-1.87</c:v>
                </c:pt>
                <c:pt idx="9">
                  <c:v>7.78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1C2-4ED4-A535-0EA10D6F9565}"/>
            </c:ext>
          </c:extLst>
        </c:ser>
        <c:ser>
          <c:idx val="2"/>
          <c:order val="2"/>
          <c:tx>
            <c:v>사각형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Sheet1!$F$7:$F$16</c:f>
              <c:numCache>
                <c:formatCode>General</c:formatCode>
                <c:ptCount val="10"/>
                <c:pt idx="0">
                  <c:v>1</c:v>
                </c:pt>
                <c:pt idx="1">
                  <c:v>0.9</c:v>
                </c:pt>
                <c:pt idx="2">
                  <c:v>0.8</c:v>
                </c:pt>
                <c:pt idx="3">
                  <c:v>0.7</c:v>
                </c:pt>
                <c:pt idx="4">
                  <c:v>0.6</c:v>
                </c:pt>
                <c:pt idx="5">
                  <c:v>0.5</c:v>
                </c:pt>
                <c:pt idx="6">
                  <c:v>0.4</c:v>
                </c:pt>
                <c:pt idx="7">
                  <c:v>0.3</c:v>
                </c:pt>
                <c:pt idx="8">
                  <c:v>0.2</c:v>
                </c:pt>
                <c:pt idx="9">
                  <c:v>0.1</c:v>
                </c:pt>
              </c:numCache>
            </c:numRef>
          </c:xVal>
          <c:yVal>
            <c:numRef>
              <c:f>Sheet1!$P$7:$P$16</c:f>
              <c:numCache>
                <c:formatCode>General</c:formatCode>
                <c:ptCount val="10"/>
                <c:pt idx="0">
                  <c:v>-4.9000000000000004</c:v>
                </c:pt>
                <c:pt idx="1">
                  <c:v>-4.8899999999999997</c:v>
                </c:pt>
                <c:pt idx="2">
                  <c:v>-4.8600000000000003</c:v>
                </c:pt>
                <c:pt idx="3">
                  <c:v>-4.78</c:v>
                </c:pt>
                <c:pt idx="4">
                  <c:v>-4.59</c:v>
                </c:pt>
                <c:pt idx="5">
                  <c:v>-4.17</c:v>
                </c:pt>
                <c:pt idx="6">
                  <c:v>-3.21</c:v>
                </c:pt>
                <c:pt idx="7">
                  <c:v>-0.99</c:v>
                </c:pt>
                <c:pt idx="8">
                  <c:v>4.66</c:v>
                </c:pt>
                <c:pt idx="9">
                  <c:v>19.8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1C2-4ED4-A535-0EA10D6F9565}"/>
            </c:ext>
          </c:extLst>
        </c:ser>
        <c:ser>
          <c:idx val="3"/>
          <c:order val="3"/>
          <c:tx>
            <c:v>삼각형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Sheet1!$F$7:$F$16</c:f>
              <c:numCache>
                <c:formatCode>General</c:formatCode>
                <c:ptCount val="10"/>
                <c:pt idx="0">
                  <c:v>1</c:v>
                </c:pt>
                <c:pt idx="1">
                  <c:v>0.9</c:v>
                </c:pt>
                <c:pt idx="2">
                  <c:v>0.8</c:v>
                </c:pt>
                <c:pt idx="3">
                  <c:v>0.7</c:v>
                </c:pt>
                <c:pt idx="4">
                  <c:v>0.6</c:v>
                </c:pt>
                <c:pt idx="5">
                  <c:v>0.5</c:v>
                </c:pt>
                <c:pt idx="6">
                  <c:v>0.4</c:v>
                </c:pt>
                <c:pt idx="7">
                  <c:v>0.3</c:v>
                </c:pt>
                <c:pt idx="8">
                  <c:v>0.2</c:v>
                </c:pt>
                <c:pt idx="9">
                  <c:v>0.1</c:v>
                </c:pt>
              </c:numCache>
            </c:numRef>
          </c:xVal>
          <c:yVal>
            <c:numRef>
              <c:f>Sheet1!$T$7:$T$16</c:f>
              <c:numCache>
                <c:formatCode>General</c:formatCode>
                <c:ptCount val="10"/>
                <c:pt idx="0">
                  <c:v>-4.62</c:v>
                </c:pt>
                <c:pt idx="1">
                  <c:v>-4.4400000000000004</c:v>
                </c:pt>
                <c:pt idx="2">
                  <c:v>-4.1399999999999997</c:v>
                </c:pt>
                <c:pt idx="3">
                  <c:v>-3.64</c:v>
                </c:pt>
                <c:pt idx="4">
                  <c:v>-2.81</c:v>
                </c:pt>
                <c:pt idx="5">
                  <c:v>-1.36</c:v>
                </c:pt>
                <c:pt idx="6">
                  <c:v>1.1399999999999999</c:v>
                </c:pt>
                <c:pt idx="7">
                  <c:v>5.92</c:v>
                </c:pt>
                <c:pt idx="8">
                  <c:v>15</c:v>
                </c:pt>
                <c:pt idx="9">
                  <c:v>38.1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81C2-4ED4-A535-0EA10D6F95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56804176"/>
        <c:axId val="1462250368"/>
      </c:scatterChart>
      <c:valAx>
        <c:axId val="14568041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/>
                  <a:t>scale</a:t>
                </a:r>
                <a:endParaRPr lang="en-US" altLang="ko-KR" baseline="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462250368"/>
        <c:crosses val="autoZero"/>
        <c:crossBetween val="midCat"/>
      </c:valAx>
      <c:valAx>
        <c:axId val="14622503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ko-KR" altLang="en-US"/>
                  <a:t>도로 최소온도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45680417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ko-KR" altLang="en-US"/>
              <a:t>단위면적당 열선길이 </a:t>
            </a:r>
            <a:r>
              <a:rPr lang="en-US" altLang="ko-KR"/>
              <a:t>vs </a:t>
            </a:r>
            <a:r>
              <a:rPr lang="ko-KR" altLang="en-US"/>
              <a:t>도로 최소온도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>
        <c:manualLayout>
          <c:layoutTarget val="inner"/>
          <c:xMode val="edge"/>
          <c:yMode val="edge"/>
          <c:x val="0.15324009858768026"/>
          <c:y val="0.18360730593607308"/>
          <c:w val="0.64636092860012018"/>
          <c:h val="0.65525114155251141"/>
        </c:manualLayout>
      </c:layout>
      <c:scatterChart>
        <c:scatterStyle val="lineMarker"/>
        <c:varyColors val="0"/>
        <c:ser>
          <c:idx val="0"/>
          <c:order val="0"/>
          <c:tx>
            <c:v>직선형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Sheet1!$E$7:$E$16</c:f>
              <c:numCache>
                <c:formatCode>General</c:formatCode>
                <c:ptCount val="10"/>
                <c:pt idx="0">
                  <c:v>1</c:v>
                </c:pt>
                <c:pt idx="1">
                  <c:v>1.1111111111111112</c:v>
                </c:pt>
                <c:pt idx="2">
                  <c:v>1.25</c:v>
                </c:pt>
                <c:pt idx="3">
                  <c:v>1.4285714285714286</c:v>
                </c:pt>
                <c:pt idx="4">
                  <c:v>1.6666666666666667</c:v>
                </c:pt>
                <c:pt idx="5">
                  <c:v>2</c:v>
                </c:pt>
                <c:pt idx="6">
                  <c:v>2.5</c:v>
                </c:pt>
                <c:pt idx="7">
                  <c:v>3.3333333333333335</c:v>
                </c:pt>
                <c:pt idx="8">
                  <c:v>5</c:v>
                </c:pt>
                <c:pt idx="9">
                  <c:v>10</c:v>
                </c:pt>
              </c:numCache>
            </c:numRef>
          </c:xVal>
          <c:yVal>
            <c:numRef>
              <c:f>Sheet1!$G$7:$G$16</c:f>
              <c:numCache>
                <c:formatCode>General</c:formatCode>
                <c:ptCount val="10"/>
                <c:pt idx="0">
                  <c:v>-4.9000000000000004</c:v>
                </c:pt>
                <c:pt idx="1">
                  <c:v>-4.9000000000000004</c:v>
                </c:pt>
                <c:pt idx="2">
                  <c:v>-4.88</c:v>
                </c:pt>
                <c:pt idx="3">
                  <c:v>-4.84</c:v>
                </c:pt>
                <c:pt idx="4">
                  <c:v>-4.74</c:v>
                </c:pt>
                <c:pt idx="5">
                  <c:v>-4.5199999999999996</c:v>
                </c:pt>
                <c:pt idx="6">
                  <c:v>-4.0199999999999996</c:v>
                </c:pt>
                <c:pt idx="7">
                  <c:v>-2.84</c:v>
                </c:pt>
                <c:pt idx="8">
                  <c:v>-0.03</c:v>
                </c:pt>
                <c:pt idx="9">
                  <c:v>7.99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B80-4939-B982-1586B36993E5}"/>
            </c:ext>
          </c:extLst>
        </c:ser>
        <c:ser>
          <c:idx val="1"/>
          <c:order val="1"/>
          <c:tx>
            <c:v>육각형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Sheet1!$J$7:$J$16</c:f>
              <c:numCache>
                <c:formatCode>General</c:formatCode>
                <c:ptCount val="10"/>
                <c:pt idx="0">
                  <c:v>1.1547005383792517</c:v>
                </c:pt>
                <c:pt idx="1">
                  <c:v>1.2830005981991686</c:v>
                </c:pt>
                <c:pt idx="2">
                  <c:v>1.4433756729740645</c:v>
                </c:pt>
                <c:pt idx="3">
                  <c:v>1.6495721976846454</c:v>
                </c:pt>
                <c:pt idx="4">
                  <c:v>1.924500897298753</c:v>
                </c:pt>
                <c:pt idx="5">
                  <c:v>2.3094010767585034</c:v>
                </c:pt>
                <c:pt idx="6">
                  <c:v>2.8867513459481291</c:v>
                </c:pt>
                <c:pt idx="7">
                  <c:v>3.8490017945975059</c:v>
                </c:pt>
                <c:pt idx="8">
                  <c:v>5.7735026918962582</c:v>
                </c:pt>
                <c:pt idx="9">
                  <c:v>11.547005383792516</c:v>
                </c:pt>
              </c:numCache>
            </c:numRef>
          </c:xVal>
          <c:yVal>
            <c:numRef>
              <c:f>Sheet1!$L$7:$L$16</c:f>
              <c:numCache>
                <c:formatCode>General</c:formatCode>
                <c:ptCount val="10"/>
                <c:pt idx="0">
                  <c:v>-4.91</c:v>
                </c:pt>
                <c:pt idx="1">
                  <c:v>-4.91</c:v>
                </c:pt>
                <c:pt idx="2">
                  <c:v>-4.91</c:v>
                </c:pt>
                <c:pt idx="3">
                  <c:v>-4.91</c:v>
                </c:pt>
                <c:pt idx="4">
                  <c:v>-4.9000000000000004</c:v>
                </c:pt>
                <c:pt idx="5">
                  <c:v>-4.87</c:v>
                </c:pt>
                <c:pt idx="6">
                  <c:v>-4.7300000000000004</c:v>
                </c:pt>
                <c:pt idx="7">
                  <c:v>-4.13</c:v>
                </c:pt>
                <c:pt idx="8">
                  <c:v>-1.87</c:v>
                </c:pt>
                <c:pt idx="9">
                  <c:v>7.78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B80-4939-B982-1586B36993E5}"/>
            </c:ext>
          </c:extLst>
        </c:ser>
        <c:ser>
          <c:idx val="2"/>
          <c:order val="2"/>
          <c:tx>
            <c:v>사각형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Sheet1!$N$7:$N$16</c:f>
              <c:numCache>
                <c:formatCode>General</c:formatCode>
                <c:ptCount val="10"/>
                <c:pt idx="0">
                  <c:v>2</c:v>
                </c:pt>
                <c:pt idx="1">
                  <c:v>2.2222222222222223</c:v>
                </c:pt>
                <c:pt idx="2">
                  <c:v>2.5</c:v>
                </c:pt>
                <c:pt idx="3">
                  <c:v>2.8571428571428572</c:v>
                </c:pt>
                <c:pt idx="4">
                  <c:v>3.3333333333333335</c:v>
                </c:pt>
                <c:pt idx="5">
                  <c:v>4</c:v>
                </c:pt>
                <c:pt idx="6">
                  <c:v>5</c:v>
                </c:pt>
                <c:pt idx="7">
                  <c:v>6.666666666666667</c:v>
                </c:pt>
                <c:pt idx="8">
                  <c:v>10</c:v>
                </c:pt>
                <c:pt idx="9">
                  <c:v>20</c:v>
                </c:pt>
              </c:numCache>
            </c:numRef>
          </c:xVal>
          <c:yVal>
            <c:numRef>
              <c:f>Sheet1!$P$7:$P$16</c:f>
              <c:numCache>
                <c:formatCode>General</c:formatCode>
                <c:ptCount val="10"/>
                <c:pt idx="0">
                  <c:v>-4.9000000000000004</c:v>
                </c:pt>
                <c:pt idx="1">
                  <c:v>-4.8899999999999997</c:v>
                </c:pt>
                <c:pt idx="2">
                  <c:v>-4.8600000000000003</c:v>
                </c:pt>
                <c:pt idx="3">
                  <c:v>-4.78</c:v>
                </c:pt>
                <c:pt idx="4">
                  <c:v>-4.59</c:v>
                </c:pt>
                <c:pt idx="5">
                  <c:v>-4.17</c:v>
                </c:pt>
                <c:pt idx="6">
                  <c:v>-3.21</c:v>
                </c:pt>
                <c:pt idx="7">
                  <c:v>-0.99</c:v>
                </c:pt>
                <c:pt idx="8">
                  <c:v>4.66</c:v>
                </c:pt>
                <c:pt idx="9">
                  <c:v>19.8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B80-4939-B982-1586B36993E5}"/>
            </c:ext>
          </c:extLst>
        </c:ser>
        <c:ser>
          <c:idx val="3"/>
          <c:order val="3"/>
          <c:tx>
            <c:v>삼각형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Sheet1!$R$7:$R$16</c:f>
              <c:numCache>
                <c:formatCode>General</c:formatCode>
                <c:ptCount val="10"/>
                <c:pt idx="0">
                  <c:v>3.4641016151377544</c:v>
                </c:pt>
                <c:pt idx="1">
                  <c:v>3.8490017945975046</c:v>
                </c:pt>
                <c:pt idx="2">
                  <c:v>4.3301270189221928</c:v>
                </c:pt>
                <c:pt idx="3">
                  <c:v>4.948716593053935</c:v>
                </c:pt>
                <c:pt idx="4">
                  <c:v>5.7735026918962573</c:v>
                </c:pt>
                <c:pt idx="5">
                  <c:v>6.9282032302755088</c:v>
                </c:pt>
                <c:pt idx="6">
                  <c:v>8.6602540378443855</c:v>
                </c:pt>
                <c:pt idx="7">
                  <c:v>11.547005383792515</c:v>
                </c:pt>
                <c:pt idx="8">
                  <c:v>17.320508075688771</c:v>
                </c:pt>
                <c:pt idx="9">
                  <c:v>34.641016151377542</c:v>
                </c:pt>
              </c:numCache>
            </c:numRef>
          </c:xVal>
          <c:yVal>
            <c:numRef>
              <c:f>Sheet1!$T$7:$T$16</c:f>
              <c:numCache>
                <c:formatCode>General</c:formatCode>
                <c:ptCount val="10"/>
                <c:pt idx="0">
                  <c:v>-4.62</c:v>
                </c:pt>
                <c:pt idx="1">
                  <c:v>-4.4400000000000004</c:v>
                </c:pt>
                <c:pt idx="2">
                  <c:v>-4.1399999999999997</c:v>
                </c:pt>
                <c:pt idx="3">
                  <c:v>-3.64</c:v>
                </c:pt>
                <c:pt idx="4">
                  <c:v>-2.81</c:v>
                </c:pt>
                <c:pt idx="5">
                  <c:v>-1.36</c:v>
                </c:pt>
                <c:pt idx="6">
                  <c:v>1.1399999999999999</c:v>
                </c:pt>
                <c:pt idx="7">
                  <c:v>5.92</c:v>
                </c:pt>
                <c:pt idx="8">
                  <c:v>15</c:v>
                </c:pt>
                <c:pt idx="9">
                  <c:v>38.1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B80-4939-B982-1586B36993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56798896"/>
        <c:axId val="1455345888"/>
      </c:scatterChart>
      <c:valAx>
        <c:axId val="1456798896"/>
        <c:scaling>
          <c:orientation val="minMax"/>
          <c:max val="1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ko-KR" altLang="en-US"/>
                  <a:t>단위면적당 열선길이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455345888"/>
        <c:crosses val="autoZero"/>
        <c:crossBetween val="midCat"/>
      </c:valAx>
      <c:valAx>
        <c:axId val="1455345888"/>
        <c:scaling>
          <c:orientation val="minMax"/>
          <c:max val="8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ko-KR" altLang="en-US"/>
                  <a:t>도로 최소온도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45679889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2484762625237229"/>
          <c:y val="0.36262726043927612"/>
          <c:w val="0.1243383521552754"/>
          <c:h val="0.241857656938353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246529</xdr:colOff>
      <xdr:row>17</xdr:row>
      <xdr:rowOff>11205</xdr:rowOff>
    </xdr:from>
    <xdr:to>
      <xdr:col>17</xdr:col>
      <xdr:colOff>672353</xdr:colOff>
      <xdr:row>33</xdr:row>
      <xdr:rowOff>33617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19A009DF-40B4-01CC-4C17-6A71EC95620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251570</xdr:colOff>
      <xdr:row>16</xdr:row>
      <xdr:rowOff>209506</xdr:rowOff>
    </xdr:from>
    <xdr:to>
      <xdr:col>9</xdr:col>
      <xdr:colOff>761999</xdr:colOff>
      <xdr:row>33</xdr:row>
      <xdr:rowOff>134471</xdr:rowOff>
    </xdr:to>
    <xdr:graphicFrame macro="">
      <xdr:nvGraphicFramePr>
        <xdr:cNvPr id="3" name="차트 2">
          <a:extLst>
            <a:ext uri="{FF2B5EF4-FFF2-40B4-BE49-F238E27FC236}">
              <a16:creationId xmlns:a16="http://schemas.microsoft.com/office/drawing/2014/main" id="{8C9308D3-859C-5DE5-9D4A-292C3F3C733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E9F5BE-05C7-4491-AD59-EE031AC46E2F}">
  <dimension ref="E5:V16"/>
  <sheetViews>
    <sheetView tabSelected="1" topLeftCell="C17" zoomScale="115" zoomScaleNormal="115" workbookViewId="0">
      <selection activeCell="K29" sqref="K29"/>
    </sheetView>
  </sheetViews>
  <sheetFormatPr defaultRowHeight="16.5" x14ac:dyDescent="0.3"/>
  <cols>
    <col min="5" max="5" width="15.875" bestFit="1" customWidth="1"/>
    <col min="10" max="10" width="15.875" bestFit="1" customWidth="1"/>
    <col min="14" max="14" width="15.875" bestFit="1" customWidth="1"/>
    <col min="17" max="17" width="9.25" customWidth="1"/>
    <col min="18" max="18" width="15.875" bestFit="1" customWidth="1"/>
  </cols>
  <sheetData>
    <row r="5" spans="5:22" x14ac:dyDescent="0.3">
      <c r="F5" t="s">
        <v>2</v>
      </c>
      <c r="K5" t="s">
        <v>5</v>
      </c>
      <c r="O5" t="s">
        <v>6</v>
      </c>
      <c r="S5" t="s">
        <v>7</v>
      </c>
    </row>
    <row r="6" spans="5:22" x14ac:dyDescent="0.3">
      <c r="E6" t="s">
        <v>8</v>
      </c>
      <c r="F6" t="s">
        <v>0</v>
      </c>
      <c r="G6" t="s">
        <v>1</v>
      </c>
      <c r="J6" t="s">
        <v>8</v>
      </c>
      <c r="K6" s="1" t="s">
        <v>3</v>
      </c>
      <c r="L6" s="1" t="s">
        <v>4</v>
      </c>
      <c r="N6" t="s">
        <v>8</v>
      </c>
      <c r="O6" s="1" t="s">
        <v>3</v>
      </c>
      <c r="P6" s="1" t="s">
        <v>4</v>
      </c>
      <c r="R6" t="s">
        <v>8</v>
      </c>
      <c r="S6" s="1" t="s">
        <v>3</v>
      </c>
      <c r="T6" s="1" t="s">
        <v>4</v>
      </c>
      <c r="U6" s="1"/>
      <c r="V6" s="1"/>
    </row>
    <row r="7" spans="5:22" x14ac:dyDescent="0.3">
      <c r="E7">
        <f>1/F7</f>
        <v>1</v>
      </c>
      <c r="F7">
        <v>1</v>
      </c>
      <c r="G7">
        <v>-4.9000000000000004</v>
      </c>
      <c r="J7">
        <f>2/SQRT(3)/K7</f>
        <v>1.1547005383792517</v>
      </c>
      <c r="K7" s="1">
        <v>1</v>
      </c>
      <c r="L7" s="1">
        <v>-4.91</v>
      </c>
      <c r="N7">
        <f>2/O7</f>
        <v>2</v>
      </c>
      <c r="O7" s="1">
        <v>1</v>
      </c>
      <c r="P7" s="1">
        <v>-4.9000000000000004</v>
      </c>
      <c r="R7">
        <f>2*SQRT(3)/S7</f>
        <v>3.4641016151377544</v>
      </c>
      <c r="S7" s="1">
        <v>1</v>
      </c>
      <c r="T7" s="1">
        <v>-4.62</v>
      </c>
      <c r="U7" s="1"/>
      <c r="V7" s="1"/>
    </row>
    <row r="8" spans="5:22" x14ac:dyDescent="0.3">
      <c r="E8">
        <f t="shared" ref="E8:E16" si="0">1/F8</f>
        <v>1.1111111111111112</v>
      </c>
      <c r="F8">
        <v>0.9</v>
      </c>
      <c r="G8">
        <v>-4.9000000000000004</v>
      </c>
      <c r="J8">
        <f t="shared" ref="J8:J16" si="1">2/SQRT(3)/K8</f>
        <v>1.2830005981991686</v>
      </c>
      <c r="K8" s="1">
        <v>0.9</v>
      </c>
      <c r="L8" s="1">
        <v>-4.91</v>
      </c>
      <c r="N8">
        <f t="shared" ref="N8:N16" si="2">2/O8</f>
        <v>2.2222222222222223</v>
      </c>
      <c r="O8" s="1">
        <v>0.9</v>
      </c>
      <c r="P8" s="1">
        <v>-4.8899999999999997</v>
      </c>
      <c r="R8">
        <f t="shared" ref="R8:R16" si="3">2*SQRT(3)/S8</f>
        <v>3.8490017945975046</v>
      </c>
      <c r="S8" s="1">
        <v>0.9</v>
      </c>
      <c r="T8" s="1">
        <v>-4.4400000000000004</v>
      </c>
      <c r="U8" s="1"/>
      <c r="V8" s="1"/>
    </row>
    <row r="9" spans="5:22" x14ac:dyDescent="0.3">
      <c r="E9">
        <f t="shared" si="0"/>
        <v>1.25</v>
      </c>
      <c r="F9">
        <v>0.8</v>
      </c>
      <c r="G9">
        <v>-4.88</v>
      </c>
      <c r="J9">
        <f t="shared" si="1"/>
        <v>1.4433756729740645</v>
      </c>
      <c r="K9" s="1">
        <v>0.8</v>
      </c>
      <c r="L9" s="1">
        <v>-4.91</v>
      </c>
      <c r="N9">
        <f t="shared" si="2"/>
        <v>2.5</v>
      </c>
      <c r="O9" s="1">
        <v>0.8</v>
      </c>
      <c r="P9" s="1">
        <v>-4.8600000000000003</v>
      </c>
      <c r="R9">
        <f t="shared" si="3"/>
        <v>4.3301270189221928</v>
      </c>
      <c r="S9" s="1">
        <v>0.8</v>
      </c>
      <c r="T9" s="1">
        <v>-4.1399999999999997</v>
      </c>
      <c r="U9" s="1"/>
      <c r="V9" s="1"/>
    </row>
    <row r="10" spans="5:22" x14ac:dyDescent="0.3">
      <c r="E10">
        <f t="shared" si="0"/>
        <v>1.4285714285714286</v>
      </c>
      <c r="F10">
        <v>0.7</v>
      </c>
      <c r="G10">
        <v>-4.84</v>
      </c>
      <c r="J10">
        <f t="shared" si="1"/>
        <v>1.6495721976846454</v>
      </c>
      <c r="K10" s="1">
        <v>0.7</v>
      </c>
      <c r="L10" s="1">
        <v>-4.91</v>
      </c>
      <c r="N10">
        <f t="shared" si="2"/>
        <v>2.8571428571428572</v>
      </c>
      <c r="O10" s="1">
        <v>0.7</v>
      </c>
      <c r="P10" s="1">
        <v>-4.78</v>
      </c>
      <c r="R10">
        <f t="shared" si="3"/>
        <v>4.948716593053935</v>
      </c>
      <c r="S10" s="1">
        <v>0.7</v>
      </c>
      <c r="T10" s="1">
        <v>-3.64</v>
      </c>
      <c r="U10" s="1"/>
      <c r="V10" s="1"/>
    </row>
    <row r="11" spans="5:22" x14ac:dyDescent="0.3">
      <c r="E11">
        <f t="shared" si="0"/>
        <v>1.6666666666666667</v>
      </c>
      <c r="F11">
        <v>0.6</v>
      </c>
      <c r="G11">
        <v>-4.74</v>
      </c>
      <c r="J11">
        <f t="shared" si="1"/>
        <v>1.924500897298753</v>
      </c>
      <c r="K11" s="1">
        <v>0.6</v>
      </c>
      <c r="L11" s="1">
        <v>-4.9000000000000004</v>
      </c>
      <c r="N11">
        <f t="shared" si="2"/>
        <v>3.3333333333333335</v>
      </c>
      <c r="O11" s="1">
        <v>0.6</v>
      </c>
      <c r="P11" s="1">
        <v>-4.59</v>
      </c>
      <c r="R11">
        <f t="shared" si="3"/>
        <v>5.7735026918962573</v>
      </c>
      <c r="S11" s="1">
        <v>0.6</v>
      </c>
      <c r="T11" s="1">
        <v>-2.81</v>
      </c>
      <c r="U11" s="1"/>
      <c r="V11" s="1"/>
    </row>
    <row r="12" spans="5:22" x14ac:dyDescent="0.3">
      <c r="E12">
        <f t="shared" si="0"/>
        <v>2</v>
      </c>
      <c r="F12">
        <v>0.5</v>
      </c>
      <c r="G12">
        <v>-4.5199999999999996</v>
      </c>
      <c r="J12">
        <f t="shared" si="1"/>
        <v>2.3094010767585034</v>
      </c>
      <c r="K12" s="1">
        <v>0.5</v>
      </c>
      <c r="L12" s="1">
        <v>-4.87</v>
      </c>
      <c r="N12">
        <f t="shared" si="2"/>
        <v>4</v>
      </c>
      <c r="O12" s="1">
        <v>0.5</v>
      </c>
      <c r="P12" s="1">
        <v>-4.17</v>
      </c>
      <c r="R12">
        <f t="shared" si="3"/>
        <v>6.9282032302755088</v>
      </c>
      <c r="S12" s="1">
        <v>0.5</v>
      </c>
      <c r="T12" s="1">
        <v>-1.36</v>
      </c>
      <c r="U12" s="1"/>
      <c r="V12" s="1"/>
    </row>
    <row r="13" spans="5:22" x14ac:dyDescent="0.3">
      <c r="E13">
        <f t="shared" si="0"/>
        <v>2.5</v>
      </c>
      <c r="F13">
        <v>0.4</v>
      </c>
      <c r="G13">
        <v>-4.0199999999999996</v>
      </c>
      <c r="J13">
        <f t="shared" si="1"/>
        <v>2.8867513459481291</v>
      </c>
      <c r="K13" s="1">
        <v>0.4</v>
      </c>
      <c r="L13" s="1">
        <v>-4.7300000000000004</v>
      </c>
      <c r="N13">
        <f t="shared" si="2"/>
        <v>5</v>
      </c>
      <c r="O13" s="1">
        <v>0.4</v>
      </c>
      <c r="P13" s="1">
        <v>-3.21</v>
      </c>
      <c r="R13">
        <f t="shared" si="3"/>
        <v>8.6602540378443855</v>
      </c>
      <c r="S13" s="1">
        <v>0.4</v>
      </c>
      <c r="T13" s="1">
        <v>1.1399999999999999</v>
      </c>
      <c r="U13" s="1"/>
      <c r="V13" s="1"/>
    </row>
    <row r="14" spans="5:22" x14ac:dyDescent="0.3">
      <c r="E14">
        <f t="shared" si="0"/>
        <v>3.3333333333333335</v>
      </c>
      <c r="F14">
        <v>0.3</v>
      </c>
      <c r="G14">
        <v>-2.84</v>
      </c>
      <c r="J14">
        <f t="shared" si="1"/>
        <v>3.8490017945975059</v>
      </c>
      <c r="K14" s="1">
        <v>0.3</v>
      </c>
      <c r="L14" s="1">
        <v>-4.13</v>
      </c>
      <c r="N14">
        <f t="shared" si="2"/>
        <v>6.666666666666667</v>
      </c>
      <c r="O14" s="1">
        <v>0.3</v>
      </c>
      <c r="P14" s="1">
        <v>-0.99</v>
      </c>
      <c r="R14">
        <f t="shared" si="3"/>
        <v>11.547005383792515</v>
      </c>
      <c r="S14" s="1">
        <v>0.3</v>
      </c>
      <c r="T14" s="1">
        <v>5.92</v>
      </c>
      <c r="U14" s="1"/>
      <c r="V14" s="1"/>
    </row>
    <row r="15" spans="5:22" x14ac:dyDescent="0.3">
      <c r="E15">
        <f t="shared" si="0"/>
        <v>5</v>
      </c>
      <c r="F15">
        <v>0.2</v>
      </c>
      <c r="G15">
        <v>-0.03</v>
      </c>
      <c r="J15">
        <f t="shared" si="1"/>
        <v>5.7735026918962582</v>
      </c>
      <c r="K15" s="1">
        <v>0.2</v>
      </c>
      <c r="L15" s="1">
        <v>-1.87</v>
      </c>
      <c r="N15">
        <f t="shared" si="2"/>
        <v>10</v>
      </c>
      <c r="O15" s="1">
        <v>0.2</v>
      </c>
      <c r="P15" s="1">
        <v>4.66</v>
      </c>
      <c r="R15">
        <f t="shared" si="3"/>
        <v>17.320508075688771</v>
      </c>
      <c r="S15" s="1">
        <v>0.2</v>
      </c>
      <c r="T15" s="1">
        <v>15</v>
      </c>
      <c r="U15" s="1"/>
      <c r="V15" s="1"/>
    </row>
    <row r="16" spans="5:22" x14ac:dyDescent="0.3">
      <c r="E16">
        <f t="shared" si="0"/>
        <v>10</v>
      </c>
      <c r="F16">
        <v>0.1</v>
      </c>
      <c r="G16">
        <v>7.99</v>
      </c>
      <c r="J16">
        <f t="shared" si="1"/>
        <v>11.547005383792516</v>
      </c>
      <c r="K16" s="1">
        <v>0.1</v>
      </c>
      <c r="L16" s="1">
        <v>7.78</v>
      </c>
      <c r="N16">
        <f t="shared" si="2"/>
        <v>20</v>
      </c>
      <c r="O16" s="1">
        <v>0.1</v>
      </c>
      <c r="P16" s="1">
        <v>19.8</v>
      </c>
      <c r="R16">
        <f t="shared" si="3"/>
        <v>34.641016151377542</v>
      </c>
      <c r="S16" s="1">
        <v>0.1</v>
      </c>
      <c r="T16" s="1">
        <v>38.1</v>
      </c>
      <c r="U16" s="1"/>
      <c r="V16" s="1"/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m12156</dc:creator>
  <cp:lastModifiedBy>m12156</cp:lastModifiedBy>
  <dcterms:created xsi:type="dcterms:W3CDTF">2023-12-10T14:09:13Z</dcterms:created>
  <dcterms:modified xsi:type="dcterms:W3CDTF">2023-12-10T15:02:26Z</dcterms:modified>
</cp:coreProperties>
</file>